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87d97061e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7cb7caafa4cf41ee"/>
    <x:sheet xmlns:r="http://schemas.openxmlformats.org/officeDocument/2006/relationships" name="Quote Leveling" sheetId="2" r:id="Ra48d494b5e134598"/>
    <x:sheet xmlns:r="http://schemas.openxmlformats.org/officeDocument/2006/relationships" name="Evidence Ledger" sheetId="3" r:id="R15fdab25cb9d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66736D"/>
      <x:name val="Carlito"/>
    </x:font>
    <x:font>
      <x:b/>
      <x:sz val="9"/>
      <x:color rgb="FF66736D"/>
      <x:name val="Carlito"/>
    </x:font>
    <x:font>
      <x:b/>
      <x:sz val="18"/>
      <x:color rgb="FF17211C"/>
      <x:name val="Carlito"/>
    </x:font>
    <x:font>
      <x:b/>
      <x:sz val="10"/>
      <x:color rgb="FF248D50"/>
      <x:name val="Carlito"/>
    </x:font>
    <x:font>
      <x:b/>
      <x:sz val="9"/>
      <x:color rgb="FF17211C"/>
      <x:name val="Carlito"/>
    </x:font>
    <x:font>
      <x:b/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11C"/>
      </x:patternFill>
    </x:fill>
    <x:fill>
      <x:patternFill patternType="solid">
        <x:fgColor rgb="FFEAF8EF"/>
      </x:patternFill>
    </x:fill>
    <x:fill>
      <x:patternFill patternType="solid">
        <x:fgColor rgb="FFFCEDEB"/>
      </x:patternFill>
    </x:fill>
    <x:fill>
      <x:patternFill patternType="solid">
        <x:fgColor rgb="FFFFF4DD"/>
      </x:patternFill>
    </x:fill>
  </x:fills>
  <x:borders count="4">
    <x:border/>
    <x:border>
      <x:bottom style="thin">
        <x:color rgb="FFDADCE0"/>
      </x:bottom>
    </x:border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17211C"/>
      </x:left>
      <x:right style="thin">
        <x:color rgb="FF17211C"/>
      </x:right>
      <x:top style="thin">
        <x:color rgb="FF17211C"/>
      </x:top>
      <x:bottom style="thin">
        <x:color rgb="FF17211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6" fillId="3" borderId="2" xfId="0" applyNumberFormat="1" applyFont="1" applyFill="1" applyBorder="1"/>
    <x:xf numFmtId="200" fontId="0" fillId="0" borderId="2" xfId="0" applyNumberFormat="1" applyFont="1" applyFill="1" applyBorder="1"/>
    <x:xf numFmtId="0" fontId="0" fillId="2" borderId="2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3" xfId="0" applyNumberFormat="1" applyFont="1" applyFill="1" applyBorder="1" applyAlignment="1">
      <x:alignment wrapText="1"/>
    </x:xf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200" fontId="0" fillId="4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200" fontId="0" fillId="3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afe04c8db423e" /><Relationship Type="http://schemas.openxmlformats.org/officeDocument/2006/relationships/theme" Target="/xl/theme/theme1.xml" Id="Re13ed88b667d4706" /><Relationship Type="http://schemas.openxmlformats.org/officeDocument/2006/relationships/sharedStrings" Target="/xl/sharedStrings.xml" Id="R868e6a4a30bb4a33" /><Relationship Type="http://schemas.openxmlformats.org/officeDocument/2006/relationships/worksheet" Target="/xl/worksheets/sheet1.xml" Id="R7cb7caafa4cf41ee" /><Relationship Type="http://schemas.openxmlformats.org/officeDocument/2006/relationships/worksheet" Target="/xl/worksheets/sheet2.xml" Id="Ra48d494b5e134598" /><Relationship Type="http://schemas.openxmlformats.org/officeDocument/2006/relationships/worksheet" Target="/xl/worksheets/sheet3.xml" Id="R15fdab25cb9d4c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ffc7eb817748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recovery cost by candidate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Purchase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Summary'!$B$19:$B$21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Freight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Summary'!$C$19:$C$21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Accessories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Summary'!$D$19:$D$21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Modification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Summary'!$E$19:$E$21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Delay exposure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Summary'!$F$19:$F$21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Installed total</c:v>
          </c:tx>
          <c:cat>
            <c:strRef>
              <c:f>'Decision Summary'!$A$19:$A$21</c:f>
              <c:strCache>
                <c:ptCount val="0"/>
              </c:strCache>
            </c:strRef>
          </c:cat>
          <c:val>
            <c:numRef>
              <c:f>'Decision Summary'!$G$19:$G$21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ffc7eb817748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e80121c95d4a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</x:cols>
  <x:sheetData>
    <x:row r="1" ht="21" customHeight="1">
      <x:c r="A1" s="3" t="str">
        <x:v>BuildCrew · replacement decision</x:v>
      </x:c>
      <x:c r="B1" s="3"/>
      <x:c r="C1" s="3"/>
      <x:c r="D1" s="3"/>
      <x:c r="E1" s="3"/>
      <x:c r="F1" s="3"/>
      <x:c r="G1" s="3"/>
      <x:c r="H1" s="3"/>
    </x:row>
    <x:row r="2" ht="21" customHeight="1">
      <x:c r="A2" s="3"/>
      <x:c r="B2" s="3"/>
      <x:c r="C2" s="3"/>
      <x:c r="D2" s="3"/>
      <x:c r="E2" s="3"/>
      <x:c r="F2" s="3"/>
      <x:c r="G2" s="3"/>
      <x:c r="H2" s="3"/>
    </x:row>
    <x:row r="3" ht="21" customHeight="1"/>
    <x:row r="4" ht="21" customHeight="1">
      <x:c r="A4" s="4" t="str">
        <x:v>BC-2026-0142 · Mission Bay Data Center · P-401 Chilled Water Pump</x:v>
      </x:c>
      <x:c r="B4" s="4"/>
      <x:c r="C4" s="4"/>
      <x:c r="D4" s="4"/>
      <x:c r="E4" s="4"/>
      <x:c r="F4" s="4"/>
      <x:c r="G4" s="4"/>
      <x:c r="H4" s="4"/>
    </x:row>
    <x:row r="5" ht="21" customHeight="1"/>
    <x:row r="6" ht="21" customHeight="1">
      <x:c r="A6" s="6" t="str">
        <x:v>TECHNICAL COMPLIANCE</x:v>
      </x:c>
      <x:c r="B6" s="6"/>
      <x:c r="C6" s="6" t="str">
        <x:v>CRITICAL CLASHES</x:v>
      </x:c>
      <x:c r="D6" s="6"/>
      <x:c r="E6" s="6" t="str">
        <x:v>ARRIVAL</x:v>
      </x:c>
      <x:c r="F6" s="6"/>
      <x:c r="G6" s="6" t="str">
        <x:v>TOTAL INSTALLED</x:v>
      </x:c>
      <x:c r="H6" s="6"/>
    </x:row>
    <x:row r="7" ht="21" customHeight="1">
      <x:c r="A7" s="8" t="str">
        <x:v>31 / 31</x:v>
      </x:c>
      <x:c r="B7" s="8"/>
      <x:c r="C7" s="8" t="str">
        <x:v>0</x:v>
      </x:c>
      <x:c r="D7" s="8"/>
      <x:c r="E7" s="8" t="str">
        <x:v>Aug 19</x:v>
      </x:c>
      <x:c r="F7" s="8"/>
      <x:c r="G7" s="8" t="str">
        <x:v>$31,680</x:v>
      </x:c>
      <x:c r="H7" s="8"/>
    </x:row>
    <x:row r="8" ht="21" customHeight="1">
      <x:c r="A8" s="8"/>
      <x:c r="B8" s="8"/>
      <x:c r="C8" s="8"/>
      <x:c r="D8" s="8"/>
      <x:c r="E8" s="8"/>
      <x:c r="F8" s="8"/>
      <x:c r="G8" s="8"/>
      <x:c r="H8" s="8"/>
    </x:row>
    <x:row r="9" ht="21" customHeight="1"/>
    <x:row r="10" ht="21" customHeight="1">
      <x:c r="A10" s="10" t="str">
        <x:v>Recommended replacement</x:v>
      </x:c>
      <x:c r="B10" s="10"/>
      <x:c r="C10" s="10"/>
      <x:c r="D10" s="10"/>
      <x:c r="E10" s="10"/>
      <x:c r="F10" s="10"/>
      <x:c r="G10" s="10"/>
      <x:c r="H10" s="10"/>
    </x:row>
    <x:row r="11" ht="21" customHeight="1">
      <x:c r="A11" s="13" t="str">
        <x:v>Armstrong · 4030 4×3×10</x:v>
      </x:c>
      <x:c r="B11" s="13"/>
      <x:c r="C11" s="13"/>
      <x:c r="D11" s="13"/>
      <x:c r="E11" s="13"/>
      <x:c r="F11" s="13"/>
      <x:c r="G11" s="13"/>
      <x:c r="H11" s="13"/>
    </x:row>
    <x:row r="12" ht="21" customHeight="1">
      <x:c r="A12" s="13"/>
      <x:c r="B12" s="13"/>
      <x:c r="C12" s="13"/>
      <x:c r="D12" s="13"/>
      <x:c r="E12" s="13"/>
      <x:c r="F12" s="13"/>
      <x:c r="G12" s="13"/>
      <x:c r="H12" s="13"/>
    </x:row>
    <x:row r="13" ht="21" customHeight="1"/>
    <x:row r="14" ht="21" customHeight="1">
      <x:c r="A14" s="15" t="str">
        <x:v>Selected because it is the only candidate that satisfies all hard requirements, arrives before the required-on-site date, preserves motor removal clearance, and produces no critical BIM clash. A 25 mm suction spool adjustment is required.</x:v>
      </x:c>
      <x:c r="B14" s="15"/>
      <x:c r="C14" s="15"/>
      <x:c r="D14" s="15"/>
      <x:c r="E14" s="15"/>
      <x:c r="F14" s="15"/>
      <x:c r="G14" s="15"/>
      <x:c r="H14" s="15"/>
    </x:row>
    <x:row r="15" ht="21" customHeight="1">
      <x:c r="A15" s="15"/>
      <x:c r="B15" s="15"/>
      <x:c r="C15" s="15"/>
      <x:c r="D15" s="15"/>
      <x:c r="E15" s="15"/>
      <x:c r="F15" s="15"/>
      <x:c r="G15" s="15"/>
      <x:c r="H15" s="15"/>
    </x:row>
    <x:row r="16" ht="21" customHeight="1">
      <x:c r="A16" s="15"/>
      <x:c r="B16" s="15"/>
      <x:c r="C16" s="15"/>
      <x:c r="D16" s="15"/>
      <x:c r="E16" s="15"/>
      <x:c r="F16" s="15"/>
      <x:c r="G16" s="15"/>
      <x:c r="H16" s="15"/>
    </x:row>
    <x:row r="17" ht="21" customHeight="1"/>
    <x:row r="18" ht="21" customHeight="1">
      <x:c r="A18" s="18" t="str">
        <x:v>Candidate</x:v>
      </x:c>
      <x:c r="B18" s="18" t="str">
        <x:v>Purchase</x:v>
      </x:c>
      <x:c r="C18" s="18" t="str">
        <x:v>Freight</x:v>
      </x:c>
      <x:c r="D18" s="18" t="str">
        <x:v>Accessories</x:v>
      </x:c>
      <x:c r="E18" s="18" t="str">
        <x:v>Modification</x:v>
      </x:c>
      <x:c r="F18" s="18" t="str">
        <x:v>Delay exposure</x:v>
      </x:c>
      <x:c r="G18" s="18" t="str">
        <x:v>Installed total</x:v>
      </x:c>
      <x:c r="H18" s="18" t="str">
        <x:v>Decision</x:v>
      </x:c>
    </x:row>
    <x:row r="19" ht="21" customHeight="1">
      <x:c r="A19" s="16" t="str">
        <x:f>'Quote Leveling'!A2</x:f>
        <x:v>Candidate A</x:v>
      </x:c>
      <x:c r="B19" s="19" t="n">
        <x:f>'Quote Leveling'!D2</x:f>
        <x:v>26400</x:v>
      </x:c>
      <x:c r="C19" s="19" t="n">
        <x:f>'Quote Leveling'!E2</x:f>
        <x:v>2100</x:v>
      </x:c>
      <x:c r="D19" s="19" t="n">
        <x:f>'Quote Leveling'!F2</x:f>
        <x:v>0</x:v>
      </x:c>
      <x:c r="E19" s="19" t="n">
        <x:f>'Quote Leveling'!G2</x:f>
        <x:v>0</x:v>
      </x:c>
      <x:c r="F19" s="19" t="n">
        <x:f>'Quote Leveling'!H2</x:f>
        <x:v>0</x:v>
      </x:c>
      <x:c r="G19" s="19" t="n">
        <x:f>'Quote Leveling'!I2</x:f>
        <x:v>28500</x:v>
      </x:c>
      <x:c r="H19" s="16" t="str">
        <x:f>'Quote Leveling'!N2</x:f>
        <x:v>REJECT</x:v>
      </x:c>
    </x:row>
    <x:row r="20" ht="21" customHeight="1">
      <x:c r="A20" s="16" t="str">
        <x:f>'Quote Leveling'!A3</x:f>
        <x:v>Candidate B</x:v>
      </x:c>
      <x:c r="B20" s="19" t="n">
        <x:f>'Quote Leveling'!D3</x:f>
        <x:v>27600</x:v>
      </x:c>
      <x:c r="C20" s="19" t="n">
        <x:f>'Quote Leveling'!E3</x:f>
        <x:v>1900</x:v>
      </x:c>
      <x:c r="D20" s="19" t="n">
        <x:f>'Quote Leveling'!F3</x:f>
        <x:v>620</x:v>
      </x:c>
      <x:c r="E20" s="19" t="n">
        <x:f>'Quote Leveling'!G3</x:f>
        <x:v>0</x:v>
      </x:c>
      <x:c r="F20" s="19" t="n">
        <x:f>'Quote Leveling'!H3</x:f>
        <x:v>0</x:v>
      </x:c>
      <x:c r="G20" s="19" t="n">
        <x:f>'Quote Leveling'!I3</x:f>
        <x:v>30120</x:v>
      </x:c>
      <x:c r="H20" s="16" t="str">
        <x:f>'Quote Leveling'!N3</x:f>
        <x:v>REJECT</x:v>
      </x:c>
    </x:row>
    <x:row r="21" ht="21" customHeight="1">
      <x:c r="A21" s="16" t="str">
        <x:f>'Quote Leveling'!A4</x:f>
        <x:v>Candidate C</x:v>
      </x:c>
      <x:c r="B21" s="19" t="n">
        <x:f>'Quote Leveling'!D4</x:f>
        <x:v>29600</x:v>
      </x:c>
      <x:c r="C21" s="19" t="n">
        <x:f>'Quote Leveling'!E4</x:f>
        <x:v>1240</x:v>
      </x:c>
      <x:c r="D21" s="19" t="n">
        <x:f>'Quote Leveling'!F4</x:f>
        <x:v>0</x:v>
      </x:c>
      <x:c r="E21" s="19" t="n">
        <x:f>'Quote Leveling'!G4</x:f>
        <x:v>840</x:v>
      </x:c>
      <x:c r="F21" s="19" t="n">
        <x:f>'Quote Leveling'!H4</x:f>
        <x:v>0</x:v>
      </x:c>
      <x:c r="G21" s="19" t="n">
        <x:f>'Quote Leveling'!I4</x:f>
        <x:v>31680</x:v>
      </x:c>
      <x:c r="H21" s="16" t="str">
        <x:f>'Quote Leveling'!N4</x:f>
        <x:v>RECOMMEND</x:v>
      </x:c>
    </x:row>
    <x:row r="22" ht="21" customHeight="1"/>
    <x:row r="23" ht="21" customHeight="1"/>
    <x:row r="24" ht="21" customHeight="1"/>
  </x:sheetData>
  <x:mergeCells>
    <x:mergeCell ref="A1:H2"/>
    <x:mergeCell ref="A4:H4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  <x:mergeCell ref="A11:H12"/>
    <x:mergeCell ref="A14:H16"/>
  </x:mergeCells>
  <x:pageMargins left="0.7" right="0.7" top="0.75" bottom="0.75" header="0.3" footer="0.3"/>
  <x:drawing xmlns:r="http://schemas.openxmlformats.org/officeDocument/2006/relationships" r:id="Rb5e80121c95d4a8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9" hidden="0" customWidth="1"/>
    <x:col min="4" max="4" width="13" hidden="0" customWidth="1"/>
    <x:col min="5" max="5" width="11" hidden="0" customWidth="1"/>
    <x:col min="6" max="6" width="13" hidden="0" customWidth="1"/>
    <x:col min="7" max="7" width="14" hidden="0" customWidth="1"/>
    <x:col min="8" max="8" width="15" hidden="0" customWidth="1"/>
    <x:col min="9" max="9" width="15" hidden="0" customWidth="1"/>
    <x:col min="10" max="10" width="12" hidden="0" customWidth="1"/>
    <x:col min="11" max="11" width="12" hidden="0" customWidth="1"/>
    <x:col min="12" max="12" width="13" hidden="0" customWidth="1"/>
    <x:col min="13" max="13" width="11" hidden="0" customWidth="1"/>
    <x:col min="14" max="14" width="15" hidden="0" customWidth="1"/>
  </x:cols>
  <x:sheetData>
    <x:row r="1" ht="23" customHeight="1">
      <x:c r="A1" s="23" t="str">
        <x:v>Candidate</x:v>
      </x:c>
      <x:c r="B1" s="23" t="str">
        <x:v>Supplier</x:v>
      </x:c>
      <x:c r="C1" s="23" t="str">
        <x:v>Model</x:v>
      </x:c>
      <x:c r="D1" s="23" t="str">
        <x:v>Product</x:v>
      </x:c>
      <x:c r="E1" s="23" t="str">
        <x:v>Freight</x:v>
      </x:c>
      <x:c r="F1" s="23" t="str">
        <x:v>Accessories</x:v>
      </x:c>
      <x:c r="G1" s="23" t="str">
        <x:v>Modification</x:v>
      </x:c>
      <x:c r="H1" s="23" t="str">
        <x:v>Delay exposure</x:v>
      </x:c>
      <x:c r="I1" s="23" t="str">
        <x:v>Installed total</x:v>
      </x:c>
      <x:c r="J1" s="23" t="str">
        <x:v>Arrival</x:v>
      </x:c>
      <x:c r="K1" s="23" t="str">
        <x:v>Hard req.</x:v>
      </x:c>
      <x:c r="L1" s="23" t="str">
        <x:v>Critical clashes</x:v>
      </x:c>
      <x:c r="M1" s="23" t="str">
        <x:v>Evidence</x:v>
      </x:c>
      <x:c r="N1" s="23" t="str">
        <x:v>Decision</x:v>
      </x:c>
    </x:row>
    <x:row r="2" ht="23" customHeight="1">
      <x:c r="A2" s="29" t="str">
        <x:v>Candidate A</x:v>
      </x:c>
      <x:c r="B2" s="29" t="str">
        <x:v>Pacific Pump Supply</x:v>
      </x:c>
      <x:c r="C2" s="29" t="str">
        <x:v>KSB Etanorm 065-040-250</x:v>
      </x:c>
      <x:c r="D2" s="30" t="n">
        <x:v>26400</x:v>
      </x:c>
      <x:c r="E2" s="30" t="n">
        <x:v>2100</x:v>
      </x:c>
      <x:c r="F2" s="30" t="n">
        <x:v>0</x:v>
      </x:c>
      <x:c r="G2" s="30" t="n">
        <x:v>0</x:v>
      </x:c>
      <x:c r="H2" s="30" t="n">
        <x:v>0</x:v>
      </x:c>
      <x:c r="I2" s="30" t="n">
        <x:f>SUM(D2:H2)</x:f>
        <x:v>28500</x:v>
      </x:c>
      <x:c r="J2" s="29" t="str">
        <x:v>Aug 17</x:v>
      </x:c>
      <x:c r="K2" s="29" t="str">
        <x:v>31/31</x:v>
      </x:c>
      <x:c r="L2" s="29" t="n">
        <x:v>1</x:v>
      </x:c>
      <x:c r="M2" s="29" t="str">
        <x:v>94%</x:v>
      </x:c>
      <x:c r="N2" s="29" t="str">
        <x:v>REJECT</x:v>
      </x:c>
    </x:row>
    <x:row r="3" ht="23" customHeight="1">
      <x:c r="A3" s="31" t="str">
        <x:v>Candidate B</x:v>
      </x:c>
      <x:c r="B3" s="31" t="str">
        <x:v>Bay Mechanical Supply</x:v>
      </x:c>
      <x:c r="C3" s="31" t="str">
        <x:v>Grundfos NB 65-125/142</x:v>
      </x:c>
      <x:c r="D3" s="32" t="n">
        <x:v>27600</x:v>
      </x:c>
      <x:c r="E3" s="32" t="n">
        <x:v>1900</x:v>
      </x:c>
      <x:c r="F3" s="32" t="n">
        <x:v>620</x:v>
      </x:c>
      <x:c r="G3" s="32" t="n">
        <x:v>0</x:v>
      </x:c>
      <x:c r="H3" s="32" t="n">
        <x:v>0</x:v>
      </x:c>
      <x:c r="I3" s="32" t="n">
        <x:f>SUM(D3:H3)</x:f>
        <x:v>30120</x:v>
      </x:c>
      <x:c r="J3" s="31" t="str">
        <x:v>Aug 18</x:v>
      </x:c>
      <x:c r="K3" s="31" t="str">
        <x:v>31/31</x:v>
      </x:c>
      <x:c r="L3" s="31" t="n">
        <x:v>1</x:v>
      </x:c>
      <x:c r="M3" s="31" t="str">
        <x:v>100%</x:v>
      </x:c>
      <x:c r="N3" s="31" t="str">
        <x:v>REJECT</x:v>
      </x:c>
    </x:row>
    <x:row r="4" ht="23" customHeight="1">
      <x:c r="A4" s="33" t="str">
        <x:v>Candidate C</x:v>
      </x:c>
      <x:c r="B4" s="33" t="str">
        <x:v>Pacific Pump Supply</x:v>
      </x:c>
      <x:c r="C4" s="33" t="str">
        <x:v>Armstrong 4030 4×3×10</x:v>
      </x:c>
      <x:c r="D4" s="34" t="n">
        <x:v>29600</x:v>
      </x:c>
      <x:c r="E4" s="34" t="n">
        <x:v>1240</x:v>
      </x:c>
      <x:c r="F4" s="34" t="n">
        <x:v>0</x:v>
      </x:c>
      <x:c r="G4" s="34" t="n">
        <x:v>840</x:v>
      </x:c>
      <x:c r="H4" s="34" t="n">
        <x:v>0</x:v>
      </x:c>
      <x:c r="I4" s="34" t="n">
        <x:f>SUM(D4:H4)</x:f>
        <x:v>31680</x:v>
      </x:c>
      <x:c r="J4" s="33" t="str">
        <x:v>Aug 19</x:v>
      </x:c>
      <x:c r="K4" s="33" t="str">
        <x:v>31/31</x:v>
      </x:c>
      <x:c r="L4" s="33" t="n">
        <x:v>0</x:v>
      </x:c>
      <x:c r="M4" s="33" t="str">
        <x:v>100%</x:v>
      </x:c>
      <x:c r="N4" s="33" t="str">
        <x:v>RECOMMEND</x:v>
      </x:c>
    </x:row>
    <x:row r="5" ht="23" customHeight="1"/>
    <x:row r="6" ht="23" customHeight="1"/>
    <x:row r="7" ht="23" customHeight="1"/>
    <x:row r="8" ht="23" customHeight="1"/>
    <x:row r="9" ht="23" customHeight="1"/>
    <x:row r="10" ht="23" customHeight="1"/>
    <x:row r="11" ht="23" customHeight="1"/>
    <x:row r="12" ht="23" customHeight="1"/>
    <x:row r="13" ht="23" customHeight="1"/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34" hidden="0" customWidth="1"/>
    <x:col min="5" max="5" width="14" hidden="0" customWidth="1"/>
    <x:col min="6" max="6" width="10" hidden="0" customWidth="1"/>
    <x:col min="7" max="7" width="13" hidden="0" customWidth="1"/>
    <x:col min="8" max="8" width="17" hidden="0" customWidth="1"/>
  </x:cols>
  <x:sheetData>
    <x:row r="1" ht="22" customHeight="1">
      <x:c r="A1" s="23" t="str">
        <x:v>Claim ID</x:v>
      </x:c>
      <x:c r="B1" s="23" t="str">
        <x:v>Claim</x:v>
      </x:c>
      <x:c r="C1" s="23" t="str">
        <x:v>Verified value</x:v>
      </x:c>
      <x:c r="D1" s="23" t="str">
        <x:v>Source document</x:v>
      </x:c>
      <x:c r="E1" s="23" t="str">
        <x:v>Page / sheet</x:v>
      </x:c>
      <x:c r="F1" s="23" t="str">
        <x:v>Grade</x:v>
      </x:c>
      <x:c r="G1" s="23" t="str">
        <x:v>Confidence</x:v>
      </x:c>
      <x:c r="H1" s="23" t="str">
        <x:v>Review state</x:v>
      </x:c>
    </x:row>
    <x:row r="2" ht="22" customHeight="1">
      <x:c r="A2" s="36" t="str">
        <x:v>EV-001</x:v>
      </x:c>
      <x:c r="B2" s="36" t="str">
        <x:v>Design flow</x:v>
      </x:c>
      <x:c r="C2" s="36" t="str">
        <x:v>420 gpm</x:v>
      </x:c>
      <x:c r="D2" s="36" t="str">
        <x:v>M-601 Equipment Schedule</x:v>
      </x:c>
      <x:c r="E2" s="36" t="str">
        <x:v>P-401</x:v>
      </x:c>
      <x:c r="F2" s="36" t="str">
        <x:v>A</x:v>
      </x:c>
      <x:c r="G2" s="37" t="n">
        <x:v>1</x:v>
      </x:c>
      <x:c r="H2" s="36" t="str">
        <x:v>VERIFIED</x:v>
      </x:c>
    </x:row>
    <x:row r="3" ht="22" customHeight="1">
      <x:c r="A3" s="36" t="str">
        <x:v>EV-002</x:v>
      </x:c>
      <x:c r="B3" s="36" t="str">
        <x:v>Overall width</x:v>
      </x:c>
      <x:c r="C3" s="36" t="str">
        <x:v>1,780 mm</x:v>
      </x:c>
      <x:c r="D3" s="36" t="str">
        <x:v>Armstrong 4030 Submittal</x:v>
      </x:c>
      <x:c r="E3" s="36" t="str">
        <x:v>6</x:v>
      </x:c>
      <x:c r="F3" s="36" t="str">
        <x:v>A</x:v>
      </x:c>
      <x:c r="G3" s="37" t="n">
        <x:v>0.99</x:v>
      </x:c>
      <x:c r="H3" s="36" t="str">
        <x:v>VERIFIED</x:v>
      </x:c>
    </x:row>
    <x:row r="4" ht="22" customHeight="1">
      <x:c r="A4" s="36" t="str">
        <x:v>EV-003</x:v>
      </x:c>
      <x:c r="B4" s="36" t="str">
        <x:v>Inlet connection</x:v>
      </x:c>
      <x:c r="C4" s="36" t="str">
        <x:v>4 in FLG</x:v>
      </x:c>
      <x:c r="D4" s="36" t="str">
        <x:v>Armstrong 4030 Submittal</x:v>
      </x:c>
      <x:c r="E4" s="36" t="str">
        <x:v>6</x:v>
      </x:c>
      <x:c r="F4" s="36" t="str">
        <x:v>A</x:v>
      </x:c>
      <x:c r="G4" s="37" t="n">
        <x:v>0.99</x:v>
      </x:c>
      <x:c r="H4" s="36" t="str">
        <x:v>VERIFIED</x:v>
      </x:c>
    </x:row>
    <x:row r="5" ht="22" customHeight="1">
      <x:c r="A5" s="36" t="str">
        <x:v>EV-004</x:v>
      </x:c>
      <x:c r="B5" s="36" t="str">
        <x:v>Motor clearance</x:v>
      </x:c>
      <x:c r="C5" s="36" t="str">
        <x:v>915 mm</x:v>
      </x:c>
      <x:c r="D5" s="36" t="str">
        <x:v>Armstrong Installation Manual</x:v>
      </x:c>
      <x:c r="E5" s="36" t="str">
        <x:v>18</x:v>
      </x:c>
      <x:c r="F5" s="36" t="str">
        <x:v>A</x:v>
      </x:c>
      <x:c r="G5" s="37" t="n">
        <x:v>0.98</x:v>
      </x:c>
      <x:c r="H5" s="36" t="str">
        <x:v>VERIFIED</x:v>
      </x:c>
    </x:row>
    <x:row r="6" ht="22" customHeight="1">
      <x:c r="A6" s="36" t="str">
        <x:v>EV-005</x:v>
      </x:c>
      <x:c r="B6" s="36" t="str">
        <x:v>Available inventory</x:v>
      </x:c>
      <x:c r="C6" s="36" t="str">
        <x:v>2 units</x:v>
      </x:c>
      <x:c r="D6" s="36" t="str">
        <x:v>Supplier Quote 7614</x:v>
      </x:c>
      <x:c r="E6" s="36" t="str">
        <x:v>1</x:v>
      </x:c>
      <x:c r="F6" s="36" t="str">
        <x:v>B</x:v>
      </x:c>
      <x:c r="G6" s="37" t="n">
        <x:v>1</x:v>
      </x:c>
      <x:c r="H6" s="36" t="str">
        <x:v>VERIFIED</x:v>
      </x:c>
    </x:row>
    <x:row r="7" ht="22" customHeight="1">
      <x:c r="A7" s="36" t="str">
        <x:v>EV-006</x:v>
      </x:c>
      <x:c r="B7" s="36" t="str">
        <x:v>Delivery</x:v>
      </x:c>
      <x:c r="C7" s="36" t="str">
        <x:v>Aug 19</x:v>
      </x:c>
      <x:c r="D7" s="36" t="str">
        <x:v>Supplier Quote 7614</x:v>
      </x:c>
      <x:c r="E7" s="36" t="str">
        <x:v>1</x:v>
      </x:c>
      <x:c r="F7" s="36" t="str">
        <x:v>B</x:v>
      </x:c>
      <x:c r="G7" s="37" t="n">
        <x:v>1</x:v>
      </x:c>
      <x:c r="H7" s="36" t="str">
        <x:v>VERIFIED</x:v>
      </x:c>
    </x:row>
    <x:row r="8" ht="22" customHeight="1">
      <x:c r="A8" s="38"/>
      <x:c r="B8" s="38"/>
      <x:c r="C8" s="38"/>
      <x:c r="D8" s="38"/>
      <x:c r="E8" s="38"/>
      <x:c r="F8" s="38"/>
      <x:c r="G8" s="38"/>
      <x:c r="H8" s="38"/>
    </x:row>
    <x:row r="9" ht="22" customHeight="1">
      <x:c r="A9" s="38"/>
      <x:c r="B9" s="38"/>
      <x:c r="C9" s="38"/>
      <x:c r="D9" s="38"/>
      <x:c r="E9" s="38"/>
      <x:c r="F9" s="38"/>
      <x:c r="G9" s="38"/>
      <x:c r="H9" s="38"/>
    </x:row>
    <x:row r="10" ht="22" customHeight="1">
      <x:c r="A10" s="38"/>
      <x:c r="B10" s="38"/>
      <x:c r="C10" s="38"/>
      <x:c r="D10" s="38"/>
      <x:c r="E10" s="38"/>
      <x:c r="F10" s="38"/>
      <x:c r="G10" s="38"/>
      <x:c r="H10" s="38"/>
    </x:row>
    <x:row r="11" ht="22" customHeight="1">
      <x:c r="A11" s="38"/>
      <x:c r="B11" s="38"/>
      <x:c r="C11" s="38"/>
      <x:c r="D11" s="38"/>
      <x:c r="E11" s="38"/>
      <x:c r="F11" s="38"/>
      <x:c r="G11" s="38"/>
      <x:c r="H11" s="38"/>
    </x:row>
    <x:row r="12" ht="22" customHeight="1">
      <x:c r="A12" s="38"/>
      <x:c r="B12" s="38"/>
      <x:c r="C12" s="38"/>
      <x:c r="D12" s="38"/>
      <x:c r="E12" s="38"/>
      <x:c r="F12" s="38"/>
      <x:c r="G12" s="38"/>
      <x:c r="H12" s="38"/>
    </x:row>
    <x:row r="13" ht="22" customHeight="1">
      <x:c r="A13" s="38"/>
      <x:c r="B13" s="38"/>
      <x:c r="C13" s="38"/>
      <x:c r="D13" s="38"/>
      <x:c r="E13" s="38"/>
      <x:c r="F13" s="38"/>
      <x:c r="G13" s="38"/>
      <x:c r="H13" s="38"/>
    </x:row>
    <x:row r="14" ht="22" customHeight="1">
      <x:c r="A14" s="38"/>
      <x:c r="B14" s="38"/>
      <x:c r="C14" s="38"/>
      <x:c r="D14" s="38"/>
      <x:c r="E14" s="38"/>
      <x:c r="F14" s="38"/>
      <x:c r="G14" s="38"/>
      <x:c r="H14" s="38"/>
    </x:row>
    <x:row r="15" ht="22" customHeight="1">
      <x:c r="A15" s="38"/>
      <x:c r="B15" s="38"/>
      <x:c r="C15" s="38"/>
      <x:c r="D15" s="38"/>
      <x:c r="E15" s="38"/>
      <x:c r="F15" s="38"/>
      <x:c r="G15" s="38"/>
      <x:c r="H15" s="38"/>
    </x:row>
    <x:row r="16" ht="22" customHeight="1">
      <x:c r="A16" s="38"/>
      <x:c r="B16" s="38"/>
      <x:c r="C16" s="38"/>
      <x:c r="D16" s="38"/>
      <x:c r="E16" s="38"/>
      <x:c r="F16" s="38"/>
      <x:c r="G16" s="38"/>
      <x:c r="H16" s="38"/>
    </x:row>
    <x:row r="17" ht="22" customHeight="1">
      <x:c r="A17" s="38"/>
      <x:c r="B17" s="38"/>
      <x:c r="C17" s="38"/>
      <x:c r="D17" s="38"/>
      <x:c r="E17" s="38"/>
      <x:c r="F17" s="38"/>
      <x:c r="G17" s="38"/>
      <x:c r="H17" s="38"/>
    </x:row>
    <x:row r="18" ht="22" customHeight="1">
      <x:c r="A18" s="38"/>
      <x:c r="B18" s="38"/>
      <x:c r="C18" s="38"/>
      <x:c r="D18" s="38"/>
      <x:c r="E18" s="38"/>
      <x:c r="F18" s="38"/>
      <x:c r="G18" s="38"/>
      <x:c r="H18" s="38"/>
    </x:row>
    <x:row r="19" ht="22" customHeight="1">
      <x:c r="A19" s="38"/>
      <x:c r="B19" s="38"/>
      <x:c r="C19" s="38"/>
      <x:c r="D19" s="38"/>
      <x:c r="E19" s="38"/>
      <x:c r="F19" s="38"/>
      <x:c r="G19" s="38"/>
      <x:c r="H19" s="38"/>
    </x:row>
    <x:row r="20" ht="22" customHeight="1">
      <x:c r="A20" s="38"/>
      <x:c r="B20" s="38"/>
      <x:c r="C20" s="38"/>
      <x:c r="D20" s="38"/>
      <x:c r="E20" s="38"/>
      <x:c r="F20" s="38"/>
      <x:c r="G20" s="38"/>
      <x:c r="H20" s="38"/>
    </x:row>
  </x:sheetData>
  <x:pageMargins left="0.7" right="0.7" top="0.75" bottom="0.75" header="0.3" footer="0.3"/>
</x:worksheet>
</file>